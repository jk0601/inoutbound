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\soon\excel\"/>
    </mc:Choice>
  </mc:AlternateContent>
  <xr:revisionPtr revIDLastSave="0" documentId="13_ncr:1_{9682DD52-D885-4403-B56B-2E676F8D67FC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수불부" sheetId="2" r:id="rId2"/>
  </sheets>
  <definedNames>
    <definedName name="_xlnm._FilterDatabase" localSheetId="0" hidden="1">Sheet1!$A$1:$L$1</definedName>
    <definedName name="_xlnm.Print_Area" localSheetId="1">수불부!$A$1:$N$43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2" l="1"/>
  <c r="L24" i="2"/>
  <c r="L23" i="2"/>
  <c r="L22" i="2"/>
  <c r="L21" i="2"/>
  <c r="L20" i="2"/>
  <c r="L25" i="2" s="1"/>
  <c r="H36" i="2" s="1"/>
  <c r="L17" i="2"/>
  <c r="L16" i="2"/>
  <c r="L15" i="2"/>
  <c r="L14" i="2"/>
  <c r="L13" i="2"/>
  <c r="L12" i="2"/>
  <c r="L11" i="2"/>
  <c r="L10" i="2"/>
  <c r="L9" i="2"/>
  <c r="L8" i="2"/>
  <c r="J27" i="2"/>
  <c r="J24" i="2"/>
  <c r="J23" i="2"/>
  <c r="J22" i="2"/>
  <c r="J21" i="2"/>
  <c r="J20" i="2"/>
  <c r="J17" i="2"/>
  <c r="J16" i="2"/>
  <c r="J15" i="2"/>
  <c r="J14" i="2"/>
  <c r="J13" i="2"/>
  <c r="J12" i="2"/>
  <c r="J11" i="2"/>
  <c r="J10" i="2"/>
  <c r="J9" i="2"/>
  <c r="J8" i="2"/>
  <c r="K27" i="2"/>
  <c r="K24" i="2"/>
  <c r="K23" i="2"/>
  <c r="K22" i="2"/>
  <c r="K21" i="2"/>
  <c r="K17" i="2"/>
  <c r="K16" i="2"/>
  <c r="K15" i="2"/>
  <c r="K18" i="2" s="1"/>
  <c r="G35" i="2" s="1"/>
  <c r="K14" i="2"/>
  <c r="K13" i="2"/>
  <c r="K12" i="2"/>
  <c r="K11" i="2"/>
  <c r="K10" i="2"/>
  <c r="K9" i="2"/>
  <c r="M9" i="2" s="1"/>
  <c r="K8" i="2"/>
  <c r="F38" i="2"/>
  <c r="F37" i="2"/>
  <c r="F36" i="2"/>
  <c r="F35" i="2"/>
  <c r="M27" i="2"/>
  <c r="M28" i="2" s="1"/>
  <c r="I37" i="2" s="1"/>
  <c r="M24" i="2"/>
  <c r="M23" i="2"/>
  <c r="M22" i="2"/>
  <c r="M21" i="2"/>
  <c r="M20" i="2"/>
  <c r="M17" i="2"/>
  <c r="M16" i="2"/>
  <c r="M14" i="2"/>
  <c r="M13" i="2"/>
  <c r="M12" i="2"/>
  <c r="M11" i="2"/>
  <c r="M10" i="2"/>
  <c r="M8" i="2"/>
  <c r="E38" i="2"/>
  <c r="D38" i="2"/>
  <c r="B38" i="2"/>
  <c r="E37" i="2"/>
  <c r="D37" i="2"/>
  <c r="C37" i="2"/>
  <c r="E36" i="2"/>
  <c r="D36" i="2"/>
  <c r="E35" i="2"/>
  <c r="D35" i="2"/>
  <c r="C35" i="2"/>
  <c r="I30" i="2"/>
  <c r="L28" i="2"/>
  <c r="H37" i="2" s="1"/>
  <c r="K28" i="2"/>
  <c r="G37" i="2" s="1"/>
  <c r="I28" i="2"/>
  <c r="H28" i="2"/>
  <c r="K25" i="2"/>
  <c r="G36" i="2" s="1"/>
  <c r="I25" i="2"/>
  <c r="H25" i="2"/>
  <c r="H30" i="2" s="1"/>
  <c r="I18" i="2"/>
  <c r="H18" i="2"/>
  <c r="C36" i="2" l="1"/>
  <c r="C38" i="2" s="1"/>
  <c r="M25" i="2"/>
  <c r="I36" i="2" s="1"/>
  <c r="G38" i="2"/>
  <c r="L18" i="2"/>
  <c r="H35" i="2" s="1"/>
  <c r="H38" i="2" s="1"/>
  <c r="M15" i="2"/>
  <c r="M18" i="2"/>
  <c r="I35" i="2" s="1"/>
  <c r="I38" i="2" s="1"/>
  <c r="K30" i="2"/>
  <c r="L30" i="2" l="1"/>
  <c r="M30" i="2"/>
</calcChain>
</file>

<file path=xl/sharedStrings.xml><?xml version="1.0" encoding="utf-8"?>
<sst xmlns="http://schemas.openxmlformats.org/spreadsheetml/2006/main" count="274" uniqueCount="115">
  <si>
    <t>일자</t>
  </si>
  <si>
    <t>주문명</t>
  </si>
  <si>
    <t>프로그램명</t>
  </si>
  <si>
    <t>대분류</t>
  </si>
  <si>
    <t>중분류</t>
  </si>
  <si>
    <t>구분</t>
  </si>
  <si>
    <t>상품내역</t>
  </si>
  <si>
    <t>수량</t>
  </si>
  <si>
    <t>단위</t>
  </si>
  <si>
    <t>공급가액</t>
  </si>
  <si>
    <t>부가세</t>
  </si>
  <si>
    <t>합계</t>
  </si>
  <si>
    <t>2026-03-04</t>
  </si>
  <si>
    <t>소모품</t>
  </si>
  <si>
    <t>공산품</t>
  </si>
  <si>
    <t>[비]세제류</t>
  </si>
  <si>
    <t>비식품</t>
  </si>
  <si>
    <t>식기세척기용세제,18L,상온,하이코리아</t>
  </si>
  <si>
    <t>통</t>
  </si>
  <si>
    <t>오븐크리너,22kg(18.7L),하이코리아</t>
  </si>
  <si>
    <t>2026-03-05</t>
  </si>
  <si>
    <t>[비]일용잡화류</t>
  </si>
  <si>
    <t>종이호일,너비:30cm*총길이:20m,롯데</t>
  </si>
  <si>
    <t>개</t>
  </si>
  <si>
    <t>2026-03-13</t>
  </si>
  <si>
    <t>[비]기타잡화류</t>
  </si>
  <si>
    <t>니트릴장갑(블루,M),100매,중국산</t>
  </si>
  <si>
    <t>곽</t>
  </si>
  <si>
    <t>미화합동테이블냅킨,약5920매(20cm*10cm),미화합동</t>
  </si>
  <si>
    <t>상자</t>
  </si>
  <si>
    <t>비셰프크린테이블냅킨,9000매(90매*100속),동원</t>
  </si>
  <si>
    <t>2026-03-16</t>
  </si>
  <si>
    <t>파트너핸드타올(흰색),5000매</t>
  </si>
  <si>
    <t>2026-03-17</t>
  </si>
  <si>
    <t>롤백(중),30*40cm,약500장,한마음</t>
  </si>
  <si>
    <t>자동식기세척기용린스,18L,상온,하이코리아</t>
  </si>
  <si>
    <t>2026-03-20</t>
  </si>
  <si>
    <t>부라보트리오,12kg(11.7L),애경</t>
  </si>
  <si>
    <t>2026-03-30</t>
  </si>
  <si>
    <t>기름때쏙빼는담금세제(S345),20kg,상온</t>
  </si>
  <si>
    <t>하이토피아A520(스케일제거제),20kg,상온</t>
  </si>
  <si>
    <t>2026-03-31</t>
  </si>
  <si>
    <t>유지방제거제,4L</t>
  </si>
  <si>
    <t>26.0</t>
  </si>
  <si>
    <t>460,226</t>
  </si>
  <si>
    <t>소 모 품  수 불 부</t>
  </si>
  <si>
    <t>관리부서</t>
  </si>
  <si>
    <t>관리기간</t>
  </si>
  <si>
    <t>2026년 3월</t>
  </si>
  <si>
    <t>작성일</t>
  </si>
  <si>
    <t>No.</t>
  </si>
  <si>
    <t>분류</t>
  </si>
  <si>
    <t>품목명</t>
  </si>
  <si>
    <t>규격</t>
  </si>
  <si>
    <t>전월이월</t>
  </si>
  <si>
    <t>입고 (구매)</t>
  </si>
  <si>
    <t>출고 (사용)</t>
  </si>
  <si>
    <t>재고</t>
  </si>
  <si>
    <t>비고</t>
  </si>
  <si>
    <t>금액(원)</t>
  </si>
  <si>
    <t>세제류</t>
  </si>
  <si>
    <t>식기세척기용세제</t>
  </si>
  <si>
    <t>18L, 하이코리아</t>
  </si>
  <si>
    <t>오븐크리너</t>
  </si>
  <si>
    <t>22kg(18.7L), 하이코리아</t>
  </si>
  <si>
    <t>자동식기세척기용린스</t>
  </si>
  <si>
    <t>부라보트리오</t>
  </si>
  <si>
    <t>12kg(11.7L), 애경</t>
  </si>
  <si>
    <t>기름때쓕빼는담금세제(S345)</t>
  </si>
  <si>
    <t>20kg</t>
  </si>
  <si>
    <t>하이토피아A520(스케일제거제)</t>
  </si>
  <si>
    <t>유지방제거제</t>
  </si>
  <si>
    <t>4L</t>
  </si>
  <si>
    <t>세제류 소계</t>
  </si>
  <si>
    <t>일용잡화류</t>
  </si>
  <si>
    <t>종이호일</t>
  </si>
  <si>
    <t>30cm*20m, 롯데</t>
  </si>
  <si>
    <t>미화합동테이블냅킨</t>
  </si>
  <si>
    <t>약5920매(20*10cm), 미화합동</t>
  </si>
  <si>
    <t>비셰프크린테이블냅킨</t>
  </si>
  <si>
    <t>9000매(90매*100속), 동원</t>
  </si>
  <si>
    <t>파트너핸드타올(흰색)</t>
  </si>
  <si>
    <t>5000매</t>
  </si>
  <si>
    <t>롤백(중)</t>
  </si>
  <si>
    <t>30*40cm, 약500장, 한마음</t>
  </si>
  <si>
    <t>일용잡화류 소계</t>
  </si>
  <si>
    <t>기타잡화류</t>
  </si>
  <si>
    <t>니트릴장갑(블루, M)</t>
  </si>
  <si>
    <t>100매/곣, 중국산</t>
  </si>
  <si>
    <t>곣</t>
  </si>
  <si>
    <t>기타잡화류 소계</t>
  </si>
  <si>
    <t>★ 월계 합계</t>
  </si>
  <si>
    <t>입고건수</t>
  </si>
  <si>
    <t>입고수량</t>
  </si>
  <si>
    <t>입고금액(원)</t>
  </si>
  <si>
    <t>구성비(%)</t>
  </si>
  <si>
    <t>■ 확인 및 결재</t>
  </si>
  <si>
    <t>작성자</t>
  </si>
  <si>
    <t>검토자</t>
  </si>
  <si>
    <t>승인자</t>
  </si>
  <si>
    <t>(   서명   )</t>
  </si>
  <si>
    <t>03/04</t>
  </si>
  <si>
    <t>03/17</t>
  </si>
  <si>
    <t>03/20</t>
  </si>
  <si>
    <t>03/30</t>
  </si>
  <si>
    <t>03/31</t>
  </si>
  <si>
    <t>03/05</t>
  </si>
  <si>
    <t>03/13</t>
  </si>
  <si>
    <t>03/16</t>
  </si>
  <si>
    <t>출고건수</t>
  </si>
  <si>
    <t>출고수량</t>
  </si>
  <si>
    <t>출고금액(원)</t>
  </si>
  <si>
    <t>재고수량</t>
  </si>
  <si>
    <t>■ 월간 분류별 입출고 현황</t>
  </si>
  <si>
    <t>식품부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</si>
</sst>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0"/>
    <numFmt numFmtId="177" formatCode="#####0.0"/>
    <numFmt numFmtId="178" formatCode="0.0%"/>
  </numFmts>
  <fonts count="21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11"/>
      <color rgb="FF333333"/>
      <name val="맑은 고딕"/>
      <family val="2"/>
      <scheme val="minor"/>
    </font>
    <font>
      <sz val="11"/>
      <color rgb="FF333333"/>
      <name val="맑은 고딕"/>
      <family val="2"/>
      <scheme val="minor"/>
    </font>
    <font>
      <sz val="11"/>
      <color rgb="FF333333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color rgb="FF808080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b/>
      <sz val="8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7"/>
      <color rgb="FFD9D9D9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9E2F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rgb="FF2F5496"/>
      </right>
      <top style="thin">
        <color rgb="FFB4C6E7"/>
      </top>
      <bottom/>
      <diagonal/>
    </border>
    <border>
      <left style="medium">
        <color rgb="FF2F5496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medium">
        <color rgb="FF2F5496"/>
      </right>
      <top/>
      <bottom/>
      <diagonal/>
    </border>
    <border>
      <left style="medium">
        <color rgb="FF2F5496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medium">
        <color rgb="FF2F5496"/>
      </right>
      <top style="double">
        <color rgb="FF2F5496"/>
      </top>
      <bottom style="double">
        <color rgb="FF2F5496"/>
      </bottom>
      <diagonal/>
    </border>
    <border>
      <left/>
      <right/>
      <top style="thin">
        <color rgb="FF2F5496"/>
      </top>
      <bottom/>
      <diagonal/>
    </border>
    <border>
      <left/>
      <right/>
      <top/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/>
      <top/>
      <bottom style="thin">
        <color rgb="FF2F5496"/>
      </bottom>
      <diagonal/>
    </border>
    <border>
      <left/>
      <right style="thin">
        <color rgb="FF2F5496"/>
      </right>
      <top style="thin">
        <color rgb="FF2F5496"/>
      </top>
      <bottom/>
      <diagonal/>
    </border>
    <border>
      <left/>
      <right style="thin">
        <color rgb="FF2F5496"/>
      </right>
      <top/>
      <bottom style="thin">
        <color rgb="FF2F5496"/>
      </bottom>
      <diagonal/>
    </border>
    <border>
      <left style="thin">
        <color rgb="FFB4C6E7"/>
      </left>
      <right/>
      <top style="medium">
        <color rgb="FF2F5496"/>
      </top>
      <bottom style="thin">
        <color rgb="FFB4C6E7"/>
      </bottom>
      <diagonal/>
    </border>
    <border>
      <left style="thin">
        <color rgb="FFB4C6E7"/>
      </left>
      <right/>
      <top style="medium">
        <color rgb="FF2F5496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/>
    <xf numFmtId="176" fontId="0" fillId="0" borderId="0" xfId="0" applyNumberFormat="1"/>
    <xf numFmtId="177" fontId="0" fillId="0" borderId="0" xfId="0" applyNumberFormat="1"/>
    <xf numFmtId="176" fontId="2" fillId="3" borderId="0" xfId="0" applyNumberFormat="1" applyFont="1" applyFill="1"/>
    <xf numFmtId="177" fontId="3" fillId="4" borderId="0" xfId="0" applyNumberFormat="1" applyFont="1" applyFill="1" applyAlignment="1">
      <alignment horizontal="right"/>
    </xf>
    <xf numFmtId="176" fontId="4" fillId="5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0" fontId="9" fillId="7" borderId="4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5" xfId="0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10" borderId="2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10" borderId="3" xfId="0" applyFont="1" applyFill="1" applyBorder="1" applyAlignment="1">
      <alignment horizontal="center" vertical="center"/>
    </xf>
    <xf numFmtId="3" fontId="11" fillId="0" borderId="3" xfId="0" applyNumberFormat="1" applyFont="1" applyBorder="1" applyAlignment="1">
      <alignment horizontal="right" vertical="center"/>
    </xf>
    <xf numFmtId="0" fontId="11" fillId="0" borderId="17" xfId="0" applyFont="1" applyBorder="1" applyAlignment="1">
      <alignment vertical="center"/>
    </xf>
    <xf numFmtId="0" fontId="12" fillId="11" borderId="18" xfId="0" applyFont="1" applyFill="1" applyBorder="1" applyAlignment="1">
      <alignment vertical="center"/>
    </xf>
    <xf numFmtId="0" fontId="0" fillId="11" borderId="19" xfId="0" applyFill="1" applyBorder="1" applyAlignment="1">
      <alignment vertical="center"/>
    </xf>
    <xf numFmtId="0" fontId="12" fillId="11" borderId="19" xfId="0" applyFont="1" applyFill="1" applyBorder="1" applyAlignment="1">
      <alignment horizontal="center" vertical="center"/>
    </xf>
    <xf numFmtId="3" fontId="12" fillId="11" borderId="19" xfId="0" applyNumberFormat="1" applyFont="1" applyFill="1" applyBorder="1" applyAlignment="1">
      <alignment horizontal="right" vertical="center"/>
    </xf>
    <xf numFmtId="0" fontId="0" fillId="11" borderId="20" xfId="0" applyFill="1" applyBorder="1" applyAlignment="1">
      <alignment vertical="center"/>
    </xf>
    <xf numFmtId="0" fontId="13" fillId="11" borderId="18" xfId="0" applyFont="1" applyFill="1" applyBorder="1" applyAlignment="1">
      <alignment vertical="center"/>
    </xf>
    <xf numFmtId="0" fontId="13" fillId="9" borderId="14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0" fontId="14" fillId="7" borderId="25" xfId="0" applyFont="1" applyFill="1" applyBorder="1" applyAlignment="1">
      <alignment horizontal="center" vertical="center"/>
    </xf>
    <xf numFmtId="3" fontId="14" fillId="7" borderId="25" xfId="0" applyNumberFormat="1" applyFont="1" applyFill="1" applyBorder="1" applyAlignment="1">
      <alignment horizontal="right" vertical="center"/>
    </xf>
    <xf numFmtId="0" fontId="0" fillId="7" borderId="26" xfId="0" applyFill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7" borderId="6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3" fontId="12" fillId="11" borderId="5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6" fillId="0" borderId="28" xfId="0" applyFont="1" applyBorder="1"/>
    <xf numFmtId="0" fontId="12" fillId="6" borderId="29" xfId="0" applyFont="1" applyFill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6" fillId="0" borderId="32" xfId="0" applyFont="1" applyBorder="1"/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178" fontId="11" fillId="0" borderId="35" xfId="0" applyNumberFormat="1" applyFont="1" applyBorder="1" applyAlignment="1">
      <alignment horizontal="center" vertical="center"/>
    </xf>
    <xf numFmtId="0" fontId="18" fillId="12" borderId="36" xfId="0" applyFont="1" applyFill="1" applyBorder="1" applyAlignment="1">
      <alignment horizontal="center" vertical="center"/>
    </xf>
    <xf numFmtId="3" fontId="18" fillId="12" borderId="36" xfId="0" applyNumberFormat="1" applyFont="1" applyFill="1" applyBorder="1" applyAlignment="1">
      <alignment horizontal="right" vertical="center"/>
    </xf>
    <xf numFmtId="0" fontId="18" fillId="12" borderId="17" xfId="0" applyFont="1" applyFill="1" applyBorder="1" applyAlignment="1">
      <alignment horizontal="center" vertical="center"/>
    </xf>
    <xf numFmtId="178" fontId="12" fillId="11" borderId="37" xfId="0" applyNumberFormat="1" applyFont="1" applyFill="1" applyBorder="1" applyAlignment="1">
      <alignment horizontal="center" vertical="center"/>
    </xf>
    <xf numFmtId="0" fontId="19" fillId="11" borderId="37" xfId="0" applyFont="1" applyFill="1" applyBorder="1" applyAlignment="1">
      <alignment horizontal="center" vertical="center"/>
    </xf>
    <xf numFmtId="3" fontId="19" fillId="11" borderId="37" xfId="0" applyNumberFormat="1" applyFont="1" applyFill="1" applyBorder="1" applyAlignment="1">
      <alignment horizontal="right" vertical="center"/>
    </xf>
    <xf numFmtId="0" fontId="19" fillId="11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3" fontId="11" fillId="10" borderId="2" xfId="0" applyNumberFormat="1" applyFont="1" applyFill="1" applyBorder="1" applyAlignment="1">
      <alignment horizontal="right" vertical="center"/>
    </xf>
    <xf numFmtId="3" fontId="10" fillId="10" borderId="2" xfId="0" applyNumberFormat="1" applyFont="1" applyFill="1" applyBorder="1" applyAlignment="1">
      <alignment horizontal="right" vertical="center"/>
    </xf>
    <xf numFmtId="3" fontId="10" fillId="10" borderId="3" xfId="0" applyNumberFormat="1" applyFont="1" applyFill="1" applyBorder="1" applyAlignment="1">
      <alignment horizontal="right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9" fillId="7" borderId="11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6A311B-353B-458F-B7E2-A2E62674C99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4022d09-fa5e-4a05-857b-87f61a11eb7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pane ySplit="1" topLeftCell="A2" activePane="bottomLeft" state="frozen"/>
      <selection pane="bottomLeft" activeCell="H23" sqref="H23"/>
    </sheetView>
  </sheetViews>
  <sheetFormatPr defaultRowHeight="15" customHeight="1" x14ac:dyDescent="0.55000000000000004"/>
  <cols>
    <col min="1" max="1" width="14.35546875" customWidth="1"/>
    <col min="2" max="2" width="9.42578125" customWidth="1"/>
    <col min="3" max="3" width="16" customWidth="1"/>
    <col min="4" max="4" width="10.640625" customWidth="1"/>
    <col min="5" max="5" width="14.5703125" customWidth="1"/>
    <col min="6" max="6" width="8.92578125" customWidth="1"/>
    <col min="7" max="7" width="41.78515625" customWidth="1"/>
    <col min="8" max="9" width="8.92578125" customWidth="1"/>
    <col min="10" max="10" width="9.42578125" customWidth="1"/>
    <col min="11" max="11" width="10.5" customWidth="1"/>
    <col min="12" max="12" width="9.0703125" customWidth="1"/>
  </cols>
  <sheetData>
    <row r="1" spans="1:12" ht="1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55000000000000004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1</v>
      </c>
      <c r="I2" s="2" t="s">
        <v>18</v>
      </c>
      <c r="J2" s="2">
        <v>14613</v>
      </c>
      <c r="K2" s="2">
        <v>1461</v>
      </c>
      <c r="L2" s="2">
        <v>16074</v>
      </c>
    </row>
    <row r="3" spans="1:12" ht="15" customHeight="1" x14ac:dyDescent="0.55000000000000004">
      <c r="A3" s="2" t="s">
        <v>12</v>
      </c>
      <c r="B3" s="2" t="s">
        <v>13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19</v>
      </c>
      <c r="H3" s="3">
        <v>1</v>
      </c>
      <c r="I3" s="2" t="s">
        <v>18</v>
      </c>
      <c r="J3" s="2">
        <v>36916</v>
      </c>
      <c r="K3" s="2">
        <v>3692</v>
      </c>
      <c r="L3" s="2">
        <v>40608</v>
      </c>
    </row>
    <row r="4" spans="1:12" ht="15" customHeight="1" x14ac:dyDescent="0.55000000000000004">
      <c r="A4" s="2" t="s">
        <v>20</v>
      </c>
      <c r="B4" s="2" t="s">
        <v>13</v>
      </c>
      <c r="C4" s="2" t="s">
        <v>13</v>
      </c>
      <c r="D4" s="2" t="s">
        <v>14</v>
      </c>
      <c r="E4" s="2" t="s">
        <v>21</v>
      </c>
      <c r="F4" s="2" t="s">
        <v>16</v>
      </c>
      <c r="G4" s="2" t="s">
        <v>22</v>
      </c>
      <c r="H4" s="3">
        <v>2</v>
      </c>
      <c r="I4" s="2" t="s">
        <v>23</v>
      </c>
      <c r="J4" s="2">
        <v>3400</v>
      </c>
      <c r="K4" s="2">
        <v>680</v>
      </c>
      <c r="L4" s="2">
        <v>7480</v>
      </c>
    </row>
    <row r="5" spans="1:12" ht="15" customHeight="1" x14ac:dyDescent="0.55000000000000004">
      <c r="A5" s="2" t="s">
        <v>24</v>
      </c>
      <c r="B5" s="2" t="s">
        <v>13</v>
      </c>
      <c r="C5" s="2" t="s">
        <v>13</v>
      </c>
      <c r="D5" s="2" t="s">
        <v>14</v>
      </c>
      <c r="E5" s="2" t="s">
        <v>25</v>
      </c>
      <c r="F5" s="2" t="s">
        <v>16</v>
      </c>
      <c r="G5" s="2" t="s">
        <v>26</v>
      </c>
      <c r="H5" s="3">
        <v>5</v>
      </c>
      <c r="I5" s="2" t="s">
        <v>27</v>
      </c>
      <c r="J5" s="2">
        <v>6351</v>
      </c>
      <c r="K5" s="2">
        <v>3175</v>
      </c>
      <c r="L5" s="2">
        <v>34930</v>
      </c>
    </row>
    <row r="6" spans="1:12" ht="15" customHeight="1" x14ac:dyDescent="0.55000000000000004">
      <c r="A6" s="2" t="s">
        <v>24</v>
      </c>
      <c r="B6" s="2" t="s">
        <v>13</v>
      </c>
      <c r="C6" s="2" t="s">
        <v>13</v>
      </c>
      <c r="D6" s="2" t="s">
        <v>14</v>
      </c>
      <c r="E6" s="2" t="s">
        <v>21</v>
      </c>
      <c r="F6" s="2" t="s">
        <v>16</v>
      </c>
      <c r="G6" s="2" t="s">
        <v>28</v>
      </c>
      <c r="H6" s="3">
        <v>1</v>
      </c>
      <c r="I6" s="2" t="s">
        <v>29</v>
      </c>
      <c r="J6" s="2">
        <v>13459</v>
      </c>
      <c r="K6" s="2">
        <v>1346</v>
      </c>
      <c r="L6" s="2">
        <v>14805</v>
      </c>
    </row>
    <row r="7" spans="1:12" ht="15" customHeight="1" x14ac:dyDescent="0.55000000000000004">
      <c r="A7" s="2" t="s">
        <v>24</v>
      </c>
      <c r="B7" s="2" t="s">
        <v>13</v>
      </c>
      <c r="C7" s="2" t="s">
        <v>13</v>
      </c>
      <c r="D7" s="2" t="s">
        <v>14</v>
      </c>
      <c r="E7" s="2" t="s">
        <v>21</v>
      </c>
      <c r="F7" s="2" t="s">
        <v>16</v>
      </c>
      <c r="G7" s="2" t="s">
        <v>30</v>
      </c>
      <c r="H7" s="3">
        <v>1</v>
      </c>
      <c r="I7" s="2" t="s">
        <v>29</v>
      </c>
      <c r="J7" s="2">
        <v>21987</v>
      </c>
      <c r="K7" s="2">
        <v>2199</v>
      </c>
      <c r="L7" s="2">
        <v>24186</v>
      </c>
    </row>
    <row r="8" spans="1:12" ht="15" customHeight="1" x14ac:dyDescent="0.55000000000000004">
      <c r="A8" s="2" t="s">
        <v>31</v>
      </c>
      <c r="B8" s="2" t="s">
        <v>13</v>
      </c>
      <c r="C8" s="2" t="s">
        <v>13</v>
      </c>
      <c r="D8" s="2" t="s">
        <v>14</v>
      </c>
      <c r="E8" s="2" t="s">
        <v>21</v>
      </c>
      <c r="F8" s="2" t="s">
        <v>16</v>
      </c>
      <c r="G8" s="2" t="s">
        <v>32</v>
      </c>
      <c r="H8" s="3">
        <v>1</v>
      </c>
      <c r="I8" s="2" t="s">
        <v>29</v>
      </c>
      <c r="J8" s="2">
        <v>28295</v>
      </c>
      <c r="K8" s="2">
        <v>2829</v>
      </c>
      <c r="L8" s="2">
        <v>31124</v>
      </c>
    </row>
    <row r="9" spans="1:12" ht="15" customHeight="1" x14ac:dyDescent="0.55000000000000004">
      <c r="A9" s="2" t="s">
        <v>33</v>
      </c>
      <c r="B9" s="2" t="s">
        <v>13</v>
      </c>
      <c r="C9" s="2" t="s">
        <v>13</v>
      </c>
      <c r="D9" s="2" t="s">
        <v>14</v>
      </c>
      <c r="E9" s="2" t="s">
        <v>21</v>
      </c>
      <c r="F9" s="2" t="s">
        <v>16</v>
      </c>
      <c r="G9" s="2" t="s">
        <v>34</v>
      </c>
      <c r="H9" s="3">
        <v>3</v>
      </c>
      <c r="I9" s="2" t="s">
        <v>23</v>
      </c>
      <c r="J9" s="2">
        <v>6900</v>
      </c>
      <c r="K9" s="2">
        <v>2070</v>
      </c>
      <c r="L9" s="2">
        <v>22770</v>
      </c>
    </row>
    <row r="10" spans="1:12" ht="15" customHeight="1" x14ac:dyDescent="0.55000000000000004">
      <c r="A10" s="2" t="s">
        <v>33</v>
      </c>
      <c r="B10" s="2" t="s">
        <v>13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3">
        <v>1</v>
      </c>
      <c r="I10" s="2" t="s">
        <v>18</v>
      </c>
      <c r="J10" s="2">
        <v>14613</v>
      </c>
      <c r="K10" s="2">
        <v>1461</v>
      </c>
      <c r="L10" s="2">
        <v>16074</v>
      </c>
    </row>
    <row r="11" spans="1:12" ht="15" customHeight="1" x14ac:dyDescent="0.55000000000000004">
      <c r="A11" s="2" t="s">
        <v>33</v>
      </c>
      <c r="B11" s="2" t="s">
        <v>13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35</v>
      </c>
      <c r="H11" s="3">
        <v>1</v>
      </c>
      <c r="I11" s="2" t="s">
        <v>18</v>
      </c>
      <c r="J11" s="2">
        <v>14613</v>
      </c>
      <c r="K11" s="2">
        <v>1461</v>
      </c>
      <c r="L11" s="2">
        <v>16074</v>
      </c>
    </row>
    <row r="12" spans="1:12" ht="15" customHeight="1" x14ac:dyDescent="0.55000000000000004">
      <c r="A12" s="2" t="s">
        <v>36</v>
      </c>
      <c r="B12" s="2" t="s">
        <v>13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37</v>
      </c>
      <c r="H12" s="3">
        <v>1</v>
      </c>
      <c r="I12" s="2" t="s">
        <v>18</v>
      </c>
      <c r="J12" s="2">
        <v>18920</v>
      </c>
      <c r="K12" s="2">
        <v>1892</v>
      </c>
      <c r="L12" s="2">
        <v>20812</v>
      </c>
    </row>
    <row r="13" spans="1:12" ht="15" customHeight="1" x14ac:dyDescent="0.55000000000000004">
      <c r="A13" s="2" t="s">
        <v>38</v>
      </c>
      <c r="B13" s="2" t="s">
        <v>13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39</v>
      </c>
      <c r="H13" s="3">
        <v>1</v>
      </c>
      <c r="I13" s="2" t="s">
        <v>18</v>
      </c>
      <c r="J13" s="2">
        <v>65177</v>
      </c>
      <c r="K13" s="2">
        <v>6518</v>
      </c>
      <c r="L13" s="2">
        <v>71695</v>
      </c>
    </row>
    <row r="14" spans="1:12" ht="15" customHeight="1" x14ac:dyDescent="0.55000000000000004">
      <c r="A14" s="2" t="s">
        <v>38</v>
      </c>
      <c r="B14" s="2" t="s">
        <v>13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3">
        <v>1</v>
      </c>
      <c r="I14" s="2" t="s">
        <v>18</v>
      </c>
      <c r="J14" s="2">
        <v>14613</v>
      </c>
      <c r="K14" s="2">
        <v>1461</v>
      </c>
      <c r="L14" s="2">
        <v>16074</v>
      </c>
    </row>
    <row r="15" spans="1:12" ht="15" customHeight="1" x14ac:dyDescent="0.55000000000000004">
      <c r="A15" s="2" t="s">
        <v>38</v>
      </c>
      <c r="B15" s="2" t="s">
        <v>13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35</v>
      </c>
      <c r="H15" s="3">
        <v>1</v>
      </c>
      <c r="I15" s="2" t="s">
        <v>18</v>
      </c>
      <c r="J15" s="2">
        <v>14613</v>
      </c>
      <c r="K15" s="2">
        <v>1461</v>
      </c>
      <c r="L15" s="2">
        <v>16074</v>
      </c>
    </row>
    <row r="16" spans="1:12" ht="15" customHeight="1" x14ac:dyDescent="0.55000000000000004">
      <c r="A16" s="2" t="s">
        <v>38</v>
      </c>
      <c r="B16" s="2" t="s">
        <v>13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40</v>
      </c>
      <c r="H16" s="3">
        <v>1</v>
      </c>
      <c r="I16" s="2" t="s">
        <v>18</v>
      </c>
      <c r="J16" s="2">
        <v>44133</v>
      </c>
      <c r="K16" s="2">
        <v>4413</v>
      </c>
      <c r="L16" s="2">
        <v>48546</v>
      </c>
    </row>
    <row r="17" spans="1:12" ht="15" customHeight="1" x14ac:dyDescent="0.55000000000000004">
      <c r="A17" s="2" t="s">
        <v>41</v>
      </c>
      <c r="B17" s="2" t="s">
        <v>13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42</v>
      </c>
      <c r="H17" s="3">
        <v>4</v>
      </c>
      <c r="I17" s="2" t="s">
        <v>18</v>
      </c>
      <c r="J17" s="2">
        <v>14295</v>
      </c>
      <c r="K17" s="2">
        <v>5720</v>
      </c>
      <c r="L17" s="2">
        <v>62900</v>
      </c>
    </row>
    <row r="18" spans="1:12" ht="15" customHeight="1" x14ac:dyDescent="0.55000000000000004">
      <c r="A18" s="4"/>
      <c r="B18" s="4"/>
      <c r="C18" s="4"/>
      <c r="D18" s="4"/>
      <c r="E18" s="4"/>
      <c r="F18" s="4"/>
      <c r="G18" s="4"/>
      <c r="H18" s="5" t="s">
        <v>43</v>
      </c>
      <c r="I18" s="4"/>
      <c r="J18" s="4"/>
      <c r="K18" s="4"/>
      <c r="L18" s="6" t="s">
        <v>44</v>
      </c>
    </row>
  </sheetData>
  <autoFilter ref="A1:L1" xr:uid="{00000000-0009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0D0B-930C-4B01-8722-3CCE13DDAE82}">
  <dimension ref="A1:N43"/>
  <sheetViews>
    <sheetView tabSelected="1" workbookViewId="0">
      <selection activeCell="E3" sqref="E3:F3"/>
    </sheetView>
  </sheetViews>
  <sheetFormatPr defaultRowHeight="17.600000000000001" x14ac:dyDescent="0.55000000000000004"/>
  <cols>
    <col min="1" max="1" width="8.42578125" customWidth="1"/>
    <col min="2" max="2" width="13.35546875" customWidth="1"/>
    <col min="3" max="3" width="25" customWidth="1"/>
    <col min="4" max="4" width="19.140625" customWidth="1"/>
    <col min="5" max="5" width="6.7109375" customWidth="1"/>
    <col min="6" max="6" width="7.5" customWidth="1"/>
    <col min="7" max="7" width="12" customWidth="1"/>
    <col min="8" max="8" width="9.35546875" customWidth="1"/>
    <col min="9" max="9" width="12.5" customWidth="1"/>
    <col min="10" max="10" width="12" customWidth="1"/>
    <col min="11" max="11" width="8.7109375" customWidth="1"/>
    <col min="12" max="12" width="12.5" customWidth="1"/>
    <col min="13" max="13" width="7.5" customWidth="1"/>
    <col min="14" max="14" width="15.85546875" customWidth="1"/>
  </cols>
  <sheetData>
    <row r="1" spans="1:14" ht="40" customHeight="1" x14ac:dyDescent="0.8">
      <c r="A1" s="78" t="s">
        <v>45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8.0500000000000007" customHeight="1" x14ac:dyDescent="0.55000000000000004"/>
    <row r="3" spans="1:14" ht="22" customHeight="1" x14ac:dyDescent="0.55000000000000004">
      <c r="A3" s="7" t="s">
        <v>46</v>
      </c>
      <c r="B3" s="80" t="s">
        <v>114</v>
      </c>
      <c r="C3" s="80"/>
      <c r="D3" s="7" t="s">
        <v>47</v>
      </c>
      <c r="E3" s="80" t="s">
        <v>48</v>
      </c>
      <c r="F3" s="80"/>
      <c r="G3" s="7" t="s">
        <v>49</v>
      </c>
      <c r="H3" s="81">
        <v>46121</v>
      </c>
      <c r="I3" s="81"/>
    </row>
    <row r="4" spans="1:14" ht="6" customHeight="1" thickBot="1" x14ac:dyDescent="0.6"/>
    <row r="5" spans="1:14" ht="22" customHeight="1" x14ac:dyDescent="0.55000000000000004">
      <c r="A5" s="82" t="s">
        <v>50</v>
      </c>
      <c r="B5" s="74" t="s">
        <v>51</v>
      </c>
      <c r="C5" s="74" t="s">
        <v>52</v>
      </c>
      <c r="D5" s="74" t="s">
        <v>53</v>
      </c>
      <c r="E5" s="74" t="s">
        <v>8</v>
      </c>
      <c r="F5" s="9" t="s">
        <v>54</v>
      </c>
      <c r="G5" s="74" t="s">
        <v>55</v>
      </c>
      <c r="H5" s="74"/>
      <c r="I5" s="74"/>
      <c r="J5" s="74" t="s">
        <v>56</v>
      </c>
      <c r="K5" s="74"/>
      <c r="L5" s="74"/>
      <c r="M5" s="9" t="s">
        <v>57</v>
      </c>
      <c r="N5" s="76" t="s">
        <v>58</v>
      </c>
    </row>
    <row r="6" spans="1:14" ht="20.05" customHeight="1" thickBot="1" x14ac:dyDescent="0.6">
      <c r="A6" s="83"/>
      <c r="B6" s="75"/>
      <c r="C6" s="75"/>
      <c r="D6" s="75"/>
      <c r="E6" s="75"/>
      <c r="F6" s="11" t="s">
        <v>7</v>
      </c>
      <c r="G6" s="11" t="s">
        <v>0</v>
      </c>
      <c r="H6" s="11" t="s">
        <v>7</v>
      </c>
      <c r="I6" s="11" t="s">
        <v>59</v>
      </c>
      <c r="J6" s="11" t="s">
        <v>0</v>
      </c>
      <c r="K6" s="11" t="s">
        <v>7</v>
      </c>
      <c r="L6" s="11" t="s">
        <v>59</v>
      </c>
      <c r="M6" s="11" t="s">
        <v>7</v>
      </c>
      <c r="N6" s="77"/>
    </row>
    <row r="7" spans="1:14" ht="20.05" customHeight="1" x14ac:dyDescent="0.55000000000000004">
      <c r="A7" s="12"/>
      <c r="B7" s="13" t="s">
        <v>60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20.05" customHeight="1" x14ac:dyDescent="0.55000000000000004">
      <c r="A8" s="16">
        <v>1</v>
      </c>
      <c r="B8" s="17" t="s">
        <v>60</v>
      </c>
      <c r="C8" s="18" t="s">
        <v>61</v>
      </c>
      <c r="D8" s="18" t="s">
        <v>62</v>
      </c>
      <c r="E8" s="17" t="s">
        <v>18</v>
      </c>
      <c r="F8" s="19"/>
      <c r="G8" s="56" t="s">
        <v>101</v>
      </c>
      <c r="H8" s="17">
        <v>1</v>
      </c>
      <c r="I8" s="20">
        <v>16074</v>
      </c>
      <c r="J8" s="19" t="str">
        <f t="shared" ref="J8:J17" si="0">G8</f>
        <v>03/04</v>
      </c>
      <c r="K8" s="19">
        <f t="shared" ref="K8:K17" si="1">H8</f>
        <v>1</v>
      </c>
      <c r="L8" s="71">
        <f t="shared" ref="L8:L17" si="2">I8/H8*K8</f>
        <v>16074</v>
      </c>
      <c r="M8" s="19">
        <f t="shared" ref="M8:M17" si="3">F8+H8-K8</f>
        <v>0</v>
      </c>
      <c r="N8" s="21"/>
    </row>
    <row r="9" spans="1:14" ht="20.05" customHeight="1" x14ac:dyDescent="0.55000000000000004">
      <c r="A9" s="16">
        <v>2</v>
      </c>
      <c r="B9" s="17" t="s">
        <v>60</v>
      </c>
      <c r="C9" s="18" t="s">
        <v>63</v>
      </c>
      <c r="D9" s="18" t="s">
        <v>64</v>
      </c>
      <c r="E9" s="17" t="s">
        <v>18</v>
      </c>
      <c r="F9" s="19"/>
      <c r="G9" s="56" t="s">
        <v>101</v>
      </c>
      <c r="H9" s="17">
        <v>1</v>
      </c>
      <c r="I9" s="20">
        <v>40608</v>
      </c>
      <c r="J9" s="19" t="str">
        <f t="shared" si="0"/>
        <v>03/04</v>
      </c>
      <c r="K9" s="19">
        <f t="shared" si="1"/>
        <v>1</v>
      </c>
      <c r="L9" s="71">
        <f t="shared" si="2"/>
        <v>40608</v>
      </c>
      <c r="M9" s="19">
        <f t="shared" si="3"/>
        <v>0</v>
      </c>
      <c r="N9" s="21"/>
    </row>
    <row r="10" spans="1:14" ht="20.05" customHeight="1" x14ac:dyDescent="0.55000000000000004">
      <c r="A10" s="16">
        <v>3</v>
      </c>
      <c r="B10" s="17" t="s">
        <v>60</v>
      </c>
      <c r="C10" s="18" t="s">
        <v>61</v>
      </c>
      <c r="D10" s="18" t="s">
        <v>62</v>
      </c>
      <c r="E10" s="17" t="s">
        <v>18</v>
      </c>
      <c r="F10" s="19"/>
      <c r="G10" s="56" t="s">
        <v>102</v>
      </c>
      <c r="H10" s="17">
        <v>1</v>
      </c>
      <c r="I10" s="20">
        <v>16074</v>
      </c>
      <c r="J10" s="19" t="str">
        <f t="shared" si="0"/>
        <v>03/17</v>
      </c>
      <c r="K10" s="19">
        <f t="shared" si="1"/>
        <v>1</v>
      </c>
      <c r="L10" s="71">
        <f t="shared" si="2"/>
        <v>16074</v>
      </c>
      <c r="M10" s="19">
        <f t="shared" si="3"/>
        <v>0</v>
      </c>
      <c r="N10" s="21"/>
    </row>
    <row r="11" spans="1:14" ht="20.05" customHeight="1" x14ac:dyDescent="0.55000000000000004">
      <c r="A11" s="16">
        <v>4</v>
      </c>
      <c r="B11" s="17" t="s">
        <v>60</v>
      </c>
      <c r="C11" s="18" t="s">
        <v>65</v>
      </c>
      <c r="D11" s="18" t="s">
        <v>62</v>
      </c>
      <c r="E11" s="17" t="s">
        <v>18</v>
      </c>
      <c r="F11" s="19"/>
      <c r="G11" s="56" t="s">
        <v>102</v>
      </c>
      <c r="H11" s="17">
        <v>1</v>
      </c>
      <c r="I11" s="20">
        <v>16074</v>
      </c>
      <c r="J11" s="19" t="str">
        <f t="shared" si="0"/>
        <v>03/17</v>
      </c>
      <c r="K11" s="19">
        <f t="shared" si="1"/>
        <v>1</v>
      </c>
      <c r="L11" s="71">
        <f t="shared" si="2"/>
        <v>16074</v>
      </c>
      <c r="M11" s="19">
        <f t="shared" si="3"/>
        <v>0</v>
      </c>
      <c r="N11" s="21"/>
    </row>
    <row r="12" spans="1:14" ht="20.05" customHeight="1" x14ac:dyDescent="0.55000000000000004">
      <c r="A12" s="16">
        <v>5</v>
      </c>
      <c r="B12" s="17" t="s">
        <v>60</v>
      </c>
      <c r="C12" s="18" t="s">
        <v>66</v>
      </c>
      <c r="D12" s="18" t="s">
        <v>67</v>
      </c>
      <c r="E12" s="17" t="s">
        <v>18</v>
      </c>
      <c r="F12" s="19"/>
      <c r="G12" s="56" t="s">
        <v>103</v>
      </c>
      <c r="H12" s="17">
        <v>1</v>
      </c>
      <c r="I12" s="20">
        <v>20812</v>
      </c>
      <c r="J12" s="19" t="str">
        <f t="shared" si="0"/>
        <v>03/20</v>
      </c>
      <c r="K12" s="19">
        <f t="shared" si="1"/>
        <v>1</v>
      </c>
      <c r="L12" s="71">
        <f t="shared" si="2"/>
        <v>20812</v>
      </c>
      <c r="M12" s="19">
        <f t="shared" si="3"/>
        <v>0</v>
      </c>
      <c r="N12" s="21"/>
    </row>
    <row r="13" spans="1:14" ht="20.05" customHeight="1" x14ac:dyDescent="0.55000000000000004">
      <c r="A13" s="16">
        <v>6</v>
      </c>
      <c r="B13" s="17" t="s">
        <v>60</v>
      </c>
      <c r="C13" s="18" t="s">
        <v>68</v>
      </c>
      <c r="D13" s="18" t="s">
        <v>69</v>
      </c>
      <c r="E13" s="17" t="s">
        <v>18</v>
      </c>
      <c r="F13" s="19"/>
      <c r="G13" s="56" t="s">
        <v>104</v>
      </c>
      <c r="H13" s="17">
        <v>1</v>
      </c>
      <c r="I13" s="20">
        <v>71695</v>
      </c>
      <c r="J13" s="69" t="str">
        <f t="shared" si="0"/>
        <v>03/30</v>
      </c>
      <c r="K13" s="69">
        <f t="shared" si="1"/>
        <v>1</v>
      </c>
      <c r="L13" s="72">
        <f t="shared" si="2"/>
        <v>71695</v>
      </c>
      <c r="M13" s="69">
        <f t="shared" si="3"/>
        <v>0</v>
      </c>
      <c r="N13" s="21"/>
    </row>
    <row r="14" spans="1:14" ht="20.05" customHeight="1" x14ac:dyDescent="0.55000000000000004">
      <c r="A14" s="16">
        <v>7</v>
      </c>
      <c r="B14" s="17" t="s">
        <v>60</v>
      </c>
      <c r="C14" s="18" t="s">
        <v>61</v>
      </c>
      <c r="D14" s="18" t="s">
        <v>62</v>
      </c>
      <c r="E14" s="17" t="s">
        <v>18</v>
      </c>
      <c r="F14" s="19"/>
      <c r="G14" s="56" t="s">
        <v>104</v>
      </c>
      <c r="H14" s="17">
        <v>1</v>
      </c>
      <c r="I14" s="20">
        <v>16074</v>
      </c>
      <c r="J14" s="69" t="str">
        <f t="shared" si="0"/>
        <v>03/30</v>
      </c>
      <c r="K14" s="69">
        <f t="shared" si="1"/>
        <v>1</v>
      </c>
      <c r="L14" s="72">
        <f t="shared" si="2"/>
        <v>16074</v>
      </c>
      <c r="M14" s="69">
        <f t="shared" si="3"/>
        <v>0</v>
      </c>
      <c r="N14" s="21"/>
    </row>
    <row r="15" spans="1:14" ht="20.05" customHeight="1" x14ac:dyDescent="0.55000000000000004">
      <c r="A15" s="16">
        <v>8</v>
      </c>
      <c r="B15" s="17" t="s">
        <v>60</v>
      </c>
      <c r="C15" s="18" t="s">
        <v>65</v>
      </c>
      <c r="D15" s="18" t="s">
        <v>62</v>
      </c>
      <c r="E15" s="17" t="s">
        <v>18</v>
      </c>
      <c r="F15" s="19"/>
      <c r="G15" s="56" t="s">
        <v>104</v>
      </c>
      <c r="H15" s="17">
        <v>1</v>
      </c>
      <c r="I15" s="20">
        <v>16074</v>
      </c>
      <c r="J15" s="69" t="str">
        <f t="shared" si="0"/>
        <v>03/30</v>
      </c>
      <c r="K15" s="69">
        <f t="shared" si="1"/>
        <v>1</v>
      </c>
      <c r="L15" s="72">
        <f t="shared" si="2"/>
        <v>16074</v>
      </c>
      <c r="M15" s="69">
        <f t="shared" si="3"/>
        <v>0</v>
      </c>
      <c r="N15" s="21"/>
    </row>
    <row r="16" spans="1:14" ht="20.05" customHeight="1" x14ac:dyDescent="0.55000000000000004">
      <c r="A16" s="16">
        <v>9</v>
      </c>
      <c r="B16" s="17" t="s">
        <v>60</v>
      </c>
      <c r="C16" s="18" t="s">
        <v>70</v>
      </c>
      <c r="D16" s="18" t="s">
        <v>69</v>
      </c>
      <c r="E16" s="17" t="s">
        <v>18</v>
      </c>
      <c r="F16" s="19"/>
      <c r="G16" s="56" t="s">
        <v>104</v>
      </c>
      <c r="H16" s="17">
        <v>1</v>
      </c>
      <c r="I16" s="20">
        <v>48546</v>
      </c>
      <c r="J16" s="69" t="str">
        <f t="shared" si="0"/>
        <v>03/30</v>
      </c>
      <c r="K16" s="69">
        <f t="shared" si="1"/>
        <v>1</v>
      </c>
      <c r="L16" s="72">
        <f t="shared" si="2"/>
        <v>48546</v>
      </c>
      <c r="M16" s="69">
        <f t="shared" si="3"/>
        <v>0</v>
      </c>
      <c r="N16" s="21"/>
    </row>
    <row r="17" spans="1:14" ht="20.05" customHeight="1" x14ac:dyDescent="0.55000000000000004">
      <c r="A17" s="22">
        <v>10</v>
      </c>
      <c r="B17" s="23" t="s">
        <v>60</v>
      </c>
      <c r="C17" s="24" t="s">
        <v>71</v>
      </c>
      <c r="D17" s="24" t="s">
        <v>72</v>
      </c>
      <c r="E17" s="23" t="s">
        <v>18</v>
      </c>
      <c r="F17" s="25"/>
      <c r="G17" s="57" t="s">
        <v>105</v>
      </c>
      <c r="H17" s="23">
        <v>4</v>
      </c>
      <c r="I17" s="26">
        <v>62900</v>
      </c>
      <c r="J17" s="70" t="str">
        <f t="shared" si="0"/>
        <v>03/31</v>
      </c>
      <c r="K17" s="70">
        <f t="shared" si="1"/>
        <v>4</v>
      </c>
      <c r="L17" s="73">
        <f t="shared" si="2"/>
        <v>62900</v>
      </c>
      <c r="M17" s="70">
        <f t="shared" si="3"/>
        <v>0</v>
      </c>
      <c r="N17" s="27"/>
    </row>
    <row r="18" spans="1:14" ht="20.05" customHeight="1" x14ac:dyDescent="0.55000000000000004">
      <c r="A18" s="28"/>
      <c r="B18" s="29"/>
      <c r="C18" s="30" t="s">
        <v>73</v>
      </c>
      <c r="D18" s="29"/>
      <c r="E18" s="29"/>
      <c r="F18" s="29"/>
      <c r="G18" s="29"/>
      <c r="H18" s="30">
        <f>SUM(H8:H17)</f>
        <v>13</v>
      </c>
      <c r="I18" s="31">
        <f>SUM(I8:I17)</f>
        <v>324931</v>
      </c>
      <c r="J18" s="29"/>
      <c r="K18" s="30">
        <f>SUM(K8:K17)</f>
        <v>13</v>
      </c>
      <c r="L18" s="31">
        <f>SUM(L8:L17)</f>
        <v>324931</v>
      </c>
      <c r="M18" s="29">
        <f>SUM(M8:M17)</f>
        <v>0</v>
      </c>
      <c r="N18" s="32"/>
    </row>
    <row r="19" spans="1:14" ht="20.05" customHeight="1" x14ac:dyDescent="0.55000000000000004">
      <c r="A19" s="12"/>
      <c r="B19" s="13" t="s">
        <v>74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ht="20.05" customHeight="1" x14ac:dyDescent="0.55000000000000004">
      <c r="A20" s="16">
        <v>11</v>
      </c>
      <c r="B20" s="17" t="s">
        <v>74</v>
      </c>
      <c r="C20" s="18" t="s">
        <v>75</v>
      </c>
      <c r="D20" s="18" t="s">
        <v>76</v>
      </c>
      <c r="E20" s="17" t="s">
        <v>23</v>
      </c>
      <c r="F20" s="19"/>
      <c r="G20" s="56" t="s">
        <v>106</v>
      </c>
      <c r="H20" s="17">
        <v>2</v>
      </c>
      <c r="I20" s="20">
        <v>7480</v>
      </c>
      <c r="J20" s="69" t="str">
        <f>G20</f>
        <v>03/05</v>
      </c>
      <c r="K20" s="69">
        <v>2</v>
      </c>
      <c r="L20" s="72">
        <f>I20/H20*K20</f>
        <v>7480</v>
      </c>
      <c r="M20" s="69">
        <f>F20+H20-K20</f>
        <v>0</v>
      </c>
      <c r="N20" s="21"/>
    </row>
    <row r="21" spans="1:14" ht="20.05" customHeight="1" x14ac:dyDescent="0.55000000000000004">
      <c r="A21" s="16">
        <v>12</v>
      </c>
      <c r="B21" s="17" t="s">
        <v>74</v>
      </c>
      <c r="C21" s="18" t="s">
        <v>77</v>
      </c>
      <c r="D21" s="18" t="s">
        <v>78</v>
      </c>
      <c r="E21" s="17" t="s">
        <v>29</v>
      </c>
      <c r="F21" s="19"/>
      <c r="G21" s="56" t="s">
        <v>107</v>
      </c>
      <c r="H21" s="17">
        <v>1</v>
      </c>
      <c r="I21" s="20">
        <v>14805</v>
      </c>
      <c r="J21" s="69" t="str">
        <f>G21</f>
        <v>03/13</v>
      </c>
      <c r="K21" s="69">
        <f>H21</f>
        <v>1</v>
      </c>
      <c r="L21" s="72">
        <f>I21/H21*K21</f>
        <v>14805</v>
      </c>
      <c r="M21" s="69">
        <f>F21+H21-K21</f>
        <v>0</v>
      </c>
      <c r="N21" s="21"/>
    </row>
    <row r="22" spans="1:14" ht="20.05" customHeight="1" x14ac:dyDescent="0.55000000000000004">
      <c r="A22" s="16">
        <v>13</v>
      </c>
      <c r="B22" s="17" t="s">
        <v>74</v>
      </c>
      <c r="C22" s="18" t="s">
        <v>79</v>
      </c>
      <c r="D22" s="18" t="s">
        <v>80</v>
      </c>
      <c r="E22" s="17" t="s">
        <v>29</v>
      </c>
      <c r="F22" s="19"/>
      <c r="G22" s="56" t="s">
        <v>107</v>
      </c>
      <c r="H22" s="17">
        <v>1</v>
      </c>
      <c r="I22" s="20">
        <v>24186</v>
      </c>
      <c r="J22" s="69" t="str">
        <f>G22</f>
        <v>03/13</v>
      </c>
      <c r="K22" s="69">
        <f>H22</f>
        <v>1</v>
      </c>
      <c r="L22" s="72">
        <f>I22/H22*K22</f>
        <v>24186</v>
      </c>
      <c r="M22" s="69">
        <f>F22+H22-K22</f>
        <v>0</v>
      </c>
      <c r="N22" s="21"/>
    </row>
    <row r="23" spans="1:14" ht="20.05" customHeight="1" x14ac:dyDescent="0.55000000000000004">
      <c r="A23" s="16">
        <v>14</v>
      </c>
      <c r="B23" s="17" t="s">
        <v>74</v>
      </c>
      <c r="C23" s="18" t="s">
        <v>81</v>
      </c>
      <c r="D23" s="18" t="s">
        <v>82</v>
      </c>
      <c r="E23" s="17" t="s">
        <v>29</v>
      </c>
      <c r="F23" s="19"/>
      <c r="G23" s="56" t="s">
        <v>108</v>
      </c>
      <c r="H23" s="17">
        <v>1</v>
      </c>
      <c r="I23" s="20">
        <v>31124</v>
      </c>
      <c r="J23" s="69" t="str">
        <f>G23</f>
        <v>03/16</v>
      </c>
      <c r="K23" s="69">
        <f>H23</f>
        <v>1</v>
      </c>
      <c r="L23" s="72">
        <f>I23/H23*K23</f>
        <v>31124</v>
      </c>
      <c r="M23" s="69">
        <f>F23+H23-K23</f>
        <v>0</v>
      </c>
      <c r="N23" s="21"/>
    </row>
    <row r="24" spans="1:14" ht="20.05" customHeight="1" x14ac:dyDescent="0.55000000000000004">
      <c r="A24" s="22">
        <v>15</v>
      </c>
      <c r="B24" s="23" t="s">
        <v>74</v>
      </c>
      <c r="C24" s="24" t="s">
        <v>83</v>
      </c>
      <c r="D24" s="24" t="s">
        <v>84</v>
      </c>
      <c r="E24" s="23" t="s">
        <v>23</v>
      </c>
      <c r="F24" s="25"/>
      <c r="G24" s="57" t="s">
        <v>102</v>
      </c>
      <c r="H24" s="23">
        <v>3</v>
      </c>
      <c r="I24" s="26">
        <v>22770</v>
      </c>
      <c r="J24" s="70" t="str">
        <f>G24</f>
        <v>03/17</v>
      </c>
      <c r="K24" s="70">
        <f>H24</f>
        <v>3</v>
      </c>
      <c r="L24" s="73">
        <f>I24/H24*K24</f>
        <v>22770</v>
      </c>
      <c r="M24" s="70">
        <f>F24+H24-K24</f>
        <v>0</v>
      </c>
      <c r="N24" s="27"/>
    </row>
    <row r="25" spans="1:14" ht="20.05" customHeight="1" x14ac:dyDescent="0.55000000000000004">
      <c r="A25" s="33"/>
      <c r="B25" s="29"/>
      <c r="C25" s="30" t="s">
        <v>85</v>
      </c>
      <c r="D25" s="29"/>
      <c r="E25" s="29"/>
      <c r="F25" s="29"/>
      <c r="G25" s="29"/>
      <c r="H25" s="30">
        <f>SUM(H20:H24)</f>
        <v>8</v>
      </c>
      <c r="I25" s="31">
        <f>SUM(I20:I24)</f>
        <v>100365</v>
      </c>
      <c r="J25" s="29"/>
      <c r="K25" s="30">
        <f>SUM(K20:K24)</f>
        <v>8</v>
      </c>
      <c r="L25" s="31">
        <f>SUM(L20:L24)</f>
        <v>100365</v>
      </c>
      <c r="M25" s="29">
        <f>SUM(M20:M24)</f>
        <v>0</v>
      </c>
      <c r="N25" s="32"/>
    </row>
    <row r="26" spans="1:14" ht="20.05" customHeight="1" x14ac:dyDescent="0.55000000000000004">
      <c r="A26" s="34"/>
      <c r="B26" s="13" t="s">
        <v>86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 ht="20.05" customHeight="1" x14ac:dyDescent="0.55000000000000004">
      <c r="A27" s="22">
        <v>16</v>
      </c>
      <c r="B27" s="23" t="s">
        <v>86</v>
      </c>
      <c r="C27" s="24" t="s">
        <v>87</v>
      </c>
      <c r="D27" s="24" t="s">
        <v>88</v>
      </c>
      <c r="E27" s="23" t="s">
        <v>89</v>
      </c>
      <c r="F27" s="25"/>
      <c r="G27" s="57" t="s">
        <v>107</v>
      </c>
      <c r="H27" s="23">
        <v>5</v>
      </c>
      <c r="I27" s="26">
        <v>34930</v>
      </c>
      <c r="J27" s="70" t="str">
        <f>G27</f>
        <v>03/13</v>
      </c>
      <c r="K27" s="70">
        <f>H27</f>
        <v>5</v>
      </c>
      <c r="L27" s="73">
        <f>I27/H27*K27</f>
        <v>34930</v>
      </c>
      <c r="M27" s="70">
        <f>F27+H27-K27</f>
        <v>0</v>
      </c>
      <c r="N27" s="27"/>
    </row>
    <row r="28" spans="1:14" ht="20.05" customHeight="1" x14ac:dyDescent="0.55000000000000004">
      <c r="A28" s="33"/>
      <c r="B28" s="29"/>
      <c r="C28" s="30" t="s">
        <v>90</v>
      </c>
      <c r="D28" s="29"/>
      <c r="E28" s="29"/>
      <c r="F28" s="29"/>
      <c r="G28" s="29"/>
      <c r="H28" s="30">
        <f>H27</f>
        <v>5</v>
      </c>
      <c r="I28" s="31">
        <f>I27</f>
        <v>34930</v>
      </c>
      <c r="J28" s="29"/>
      <c r="K28" s="30">
        <f>K27</f>
        <v>5</v>
      </c>
      <c r="L28" s="31">
        <f>L27</f>
        <v>34930</v>
      </c>
      <c r="M28" s="29">
        <f>M27</f>
        <v>0</v>
      </c>
      <c r="N28" s="32"/>
    </row>
    <row r="29" spans="1:14" ht="8.0500000000000007" customHeight="1" thickBot="1" x14ac:dyDescent="0.6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</row>
    <row r="30" spans="1:14" ht="25" customHeight="1" thickTop="1" thickBot="1" x14ac:dyDescent="0.6">
      <c r="A30" s="38"/>
      <c r="B30" s="39"/>
      <c r="C30" s="40" t="s">
        <v>91</v>
      </c>
      <c r="D30" s="39"/>
      <c r="E30" s="39"/>
      <c r="F30" s="39"/>
      <c r="G30" s="39"/>
      <c r="H30" s="40">
        <f>H18+H25+H28</f>
        <v>26</v>
      </c>
      <c r="I30" s="41">
        <f>I18+I25+I28</f>
        <v>460226</v>
      </c>
      <c r="J30" s="39"/>
      <c r="K30" s="40">
        <f>K18+K25+K28</f>
        <v>26</v>
      </c>
      <c r="L30" s="41">
        <f>L18+L25+L28</f>
        <v>460226</v>
      </c>
      <c r="M30" s="39">
        <f>M18+M25+M28</f>
        <v>0</v>
      </c>
      <c r="N30" s="42"/>
    </row>
    <row r="31" spans="1:14" ht="8.0500000000000007" customHeight="1" thickTop="1" x14ac:dyDescent="0.55000000000000004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spans="1:14" x14ac:dyDescent="0.55000000000000004">
      <c r="A32" s="44" t="s">
        <v>113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1:14" ht="6" customHeight="1" thickBot="1" x14ac:dyDescent="0.6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1:14" x14ac:dyDescent="0.55000000000000004">
      <c r="A34" s="45" t="s">
        <v>51</v>
      </c>
      <c r="B34" s="8" t="s">
        <v>92</v>
      </c>
      <c r="C34" s="8" t="s">
        <v>93</v>
      </c>
      <c r="D34" s="8" t="s">
        <v>94</v>
      </c>
      <c r="E34" s="58" t="s">
        <v>95</v>
      </c>
      <c r="F34" s="59" t="s">
        <v>109</v>
      </c>
      <c r="G34" s="59" t="s">
        <v>110</v>
      </c>
      <c r="H34" s="59" t="s">
        <v>111</v>
      </c>
      <c r="I34" s="10" t="s">
        <v>112</v>
      </c>
      <c r="J34" s="43"/>
      <c r="K34" s="68"/>
      <c r="L34" s="68"/>
      <c r="M34" s="43"/>
      <c r="N34" s="43"/>
    </row>
    <row r="35" spans="1:14" x14ac:dyDescent="0.55000000000000004">
      <c r="A35" s="16" t="s">
        <v>60</v>
      </c>
      <c r="B35" s="17">
        <v>10</v>
      </c>
      <c r="C35" s="17">
        <f>H18</f>
        <v>13</v>
      </c>
      <c r="D35" s="20">
        <f>I18</f>
        <v>324931</v>
      </c>
      <c r="E35" s="60">
        <f>D35/$D$38</f>
        <v>0.706024866044074</v>
      </c>
      <c r="F35" s="61">
        <f>B35</f>
        <v>10</v>
      </c>
      <c r="G35" s="61">
        <f>K18</f>
        <v>13</v>
      </c>
      <c r="H35" s="62">
        <f>L18</f>
        <v>324931</v>
      </c>
      <c r="I35" s="63">
        <f>M18</f>
        <v>0</v>
      </c>
      <c r="J35" s="43"/>
      <c r="K35" s="68"/>
      <c r="L35" s="68"/>
      <c r="M35" s="43"/>
      <c r="N35" s="43"/>
    </row>
    <row r="36" spans="1:14" x14ac:dyDescent="0.55000000000000004">
      <c r="A36" s="16" t="s">
        <v>74</v>
      </c>
      <c r="B36" s="17">
        <v>5</v>
      </c>
      <c r="C36" s="17">
        <f>H25</f>
        <v>8</v>
      </c>
      <c r="D36" s="20">
        <f>I25</f>
        <v>100365</v>
      </c>
      <c r="E36" s="60">
        <f>D36/$D$38</f>
        <v>0.21807764011594305</v>
      </c>
      <c r="F36" s="61">
        <f>B36</f>
        <v>5</v>
      </c>
      <c r="G36" s="61">
        <f>K25</f>
        <v>8</v>
      </c>
      <c r="H36" s="62">
        <f>L25</f>
        <v>100365</v>
      </c>
      <c r="I36" s="63">
        <f>M25</f>
        <v>0</v>
      </c>
      <c r="J36" s="43"/>
      <c r="K36" s="68"/>
      <c r="L36" s="68"/>
      <c r="M36" s="43"/>
      <c r="N36" s="43"/>
    </row>
    <row r="37" spans="1:14" x14ac:dyDescent="0.55000000000000004">
      <c r="A37" s="16" t="s">
        <v>86</v>
      </c>
      <c r="B37" s="17">
        <v>1</v>
      </c>
      <c r="C37" s="17">
        <f>H28</f>
        <v>5</v>
      </c>
      <c r="D37" s="20">
        <f>I28</f>
        <v>34930</v>
      </c>
      <c r="E37" s="60">
        <f>D37/$D$38</f>
        <v>7.5897493839982968E-2</v>
      </c>
      <c r="F37" s="61">
        <f>B37</f>
        <v>1</v>
      </c>
      <c r="G37" s="61">
        <f>K28</f>
        <v>5</v>
      </c>
      <c r="H37" s="62">
        <f>L28</f>
        <v>34930</v>
      </c>
      <c r="I37" s="63">
        <f>M28</f>
        <v>0</v>
      </c>
      <c r="J37" s="43"/>
      <c r="K37" s="68"/>
      <c r="L37" s="68"/>
      <c r="M37" s="43"/>
      <c r="N37" s="43"/>
    </row>
    <row r="38" spans="1:14" ht="18" thickBot="1" x14ac:dyDescent="0.6">
      <c r="A38" s="46" t="s">
        <v>11</v>
      </c>
      <c r="B38" s="47">
        <f t="shared" ref="B38:I38" si="4">SUM(B35:B37)</f>
        <v>16</v>
      </c>
      <c r="C38" s="47">
        <f t="shared" si="4"/>
        <v>26</v>
      </c>
      <c r="D38" s="48">
        <f t="shared" si="4"/>
        <v>460226</v>
      </c>
      <c r="E38" s="64">
        <f t="shared" si="4"/>
        <v>1</v>
      </c>
      <c r="F38" s="65">
        <f t="shared" si="4"/>
        <v>16</v>
      </c>
      <c r="G38" s="65">
        <f t="shared" si="4"/>
        <v>26</v>
      </c>
      <c r="H38" s="66">
        <f t="shared" si="4"/>
        <v>460226</v>
      </c>
      <c r="I38" s="67">
        <f t="shared" si="4"/>
        <v>0</v>
      </c>
      <c r="J38" s="43"/>
      <c r="K38" s="43"/>
      <c r="L38" s="43"/>
      <c r="M38" s="43"/>
      <c r="N38" s="43"/>
    </row>
    <row r="39" spans="1:14" ht="8.0500000000000007" customHeight="1" x14ac:dyDescent="0.55000000000000004"/>
    <row r="40" spans="1:14" x14ac:dyDescent="0.55000000000000004">
      <c r="A40" s="49" t="s">
        <v>96</v>
      </c>
    </row>
    <row r="41" spans="1:14" ht="6" customHeight="1" x14ac:dyDescent="0.55000000000000004"/>
    <row r="42" spans="1:14" ht="22" customHeight="1" x14ac:dyDescent="0.55000000000000004">
      <c r="A42" s="52" t="s">
        <v>97</v>
      </c>
      <c r="B42" s="50"/>
      <c r="C42" s="52" t="s">
        <v>98</v>
      </c>
      <c r="D42" s="50"/>
      <c r="E42" s="52" t="s">
        <v>99</v>
      </c>
      <c r="F42" s="54"/>
    </row>
    <row r="43" spans="1:14" ht="30" customHeight="1" x14ac:dyDescent="0.55000000000000004">
      <c r="A43" s="53" t="s">
        <v>100</v>
      </c>
      <c r="B43" s="51"/>
      <c r="C43" s="53" t="s">
        <v>100</v>
      </c>
      <c r="D43" s="51"/>
      <c r="E43" s="53" t="s">
        <v>100</v>
      </c>
      <c r="F43" s="55"/>
    </row>
  </sheetData>
  <mergeCells count="12">
    <mergeCell ref="E5:E6"/>
    <mergeCell ref="N5:N6"/>
    <mergeCell ref="A1:N1"/>
    <mergeCell ref="B3:C3"/>
    <mergeCell ref="E3:F3"/>
    <mergeCell ref="H3:I3"/>
    <mergeCell ref="G5:I5"/>
    <mergeCell ref="J5:L5"/>
    <mergeCell ref="A5:A6"/>
    <mergeCell ref="B5:B6"/>
    <mergeCell ref="C5:C6"/>
    <mergeCell ref="D5:D6"/>
  </mergeCells>
  <phoneticPr fontId="5" type="noConversion"/>
  <pageMargins left="0.34722222222222221" right="0.34722222222222221" top="0.41666666666666669" bottom="0.41666666666666669" header="0.3" footer="0.3"/>
  <pageSetup paperSize="0" scale="0" orientation="landscape" horizontalDpi="0" verticalDpi="0" copies="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수불부</vt:lpstr>
      <vt:lpstr>수불부!Print_Area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 jk</cp:lastModifiedBy>
  <dcterms:created xsi:type="dcterms:W3CDTF">2026-04-09T04:33:00Z</dcterms:created>
  <dcterms:modified xsi:type="dcterms:W3CDTF">2026-04-16T01:38:47Z</dcterms:modified>
</cp:coreProperties>
</file>